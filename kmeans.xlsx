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eeraj.bhatt@optum.com/Downloads/"/>
    </mc:Choice>
  </mc:AlternateContent>
  <xr:revisionPtr revIDLastSave="0" documentId="8_{A12F0790-3B86-2148-88CC-638CD5819002}" xr6:coauthVersionLast="47" xr6:coauthVersionMax="47" xr10:uidLastSave="{00000000-0000-0000-0000-000000000000}"/>
  <bookViews>
    <workbookView xWindow="0" yWindow="600" windowWidth="38400" windowHeight="19660" xr2:uid="{00000000-000D-0000-FFFF-FFFF00000000}"/>
  </bookViews>
  <sheets>
    <sheet name="Overview" sheetId="1" r:id="rId1"/>
    <sheet name="Core Tests" sheetId="2" r:id="rId2"/>
    <sheet name="SME &amp; Metric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</calcChain>
</file>

<file path=xl/sharedStrings.xml><?xml version="1.0" encoding="utf-8"?>
<sst xmlns="http://schemas.openxmlformats.org/spreadsheetml/2006/main" count="248" uniqueCount="200">
  <si>
    <t>Lean KMeans FWA Benchmark Workbook</t>
  </si>
  <si>
    <t>Purpose</t>
  </si>
  <si>
    <t>Determine whether KMeans improves the Program Integrity provider-review queue versus credible baselines.</t>
  </si>
  <si>
    <t>Success framing</t>
  </si>
  <si>
    <t>KMeans is valuable only if it produces more SME-actionable leads at the same review capacity without unacceptable false-positive burden.</t>
  </si>
  <si>
    <t>Primary comparison</t>
  </si>
  <si>
    <t>KMeans vs legacy spike detection, simple transparent rules, known-case backtest, and random/background sampling.</t>
  </si>
  <si>
    <t>Essential decisions needed from Shirley</t>
  </si>
  <si>
    <t>Why it matters</t>
  </si>
  <si>
    <t>Workbook location</t>
  </si>
  <si>
    <t>Status</t>
  </si>
  <si>
    <t>Core Test Status</t>
  </si>
  <si>
    <t>Count</t>
  </si>
  <si>
    <t>Valid provider peer groups</t>
  </si>
  <si>
    <t>Defines what 'unusual relative to peers' means.</t>
  </si>
  <si>
    <t>SME &amp; Metrics</t>
  </si>
  <si>
    <t>Needs SME</t>
  </si>
  <si>
    <t>Not Started</t>
  </si>
  <si>
    <t>Actionability rubric</t>
  </si>
  <si>
    <t>Defines what counts as a successful alert.</t>
  </si>
  <si>
    <t>Review capacity K</t>
  </si>
  <si>
    <t>Sets the denominator for precision@K and lift@K.</t>
  </si>
  <si>
    <t>In Progress</t>
  </si>
  <si>
    <t>Credible historical positives</t>
  </si>
  <si>
    <t>Creates a backtest set for known-case capture.</t>
  </si>
  <si>
    <t>Complete</t>
  </si>
  <si>
    <t>Success thresholds</t>
  </si>
  <si>
    <t>Turns analysis into go/no-go criteria.</t>
  </si>
  <si>
    <t>Blocked</t>
  </si>
  <si>
    <t>Recommended benchmark flow</t>
  </si>
  <si>
    <t>1</t>
  </si>
  <si>
    <t>Confirm features and peer-group assumptions.</t>
  </si>
  <si>
    <t>2</t>
  </si>
  <si>
    <t>Run KMeans and calculate distance-to-centroid anomaly scores.</t>
  </si>
  <si>
    <t>3</t>
  </si>
  <si>
    <t>Create a stratified blinded sample across KMeans, legacy, simple rules, known cases, and random/background providers.</t>
  </si>
  <si>
    <t>4</t>
  </si>
  <si>
    <t>Have Shirley/SMEs score cases using the actionability rubric.</t>
  </si>
  <si>
    <t>5</t>
  </si>
  <si>
    <t>Compare KMeans against baselines at the same review capacity.</t>
  </si>
  <si>
    <t>6</t>
  </si>
  <si>
    <t>Use agreed thresholds for approval, monitoring, and future AIRB evidence.</t>
  </si>
  <si>
    <t>Test ID</t>
  </si>
  <si>
    <t>Area</t>
  </si>
  <si>
    <t>Core Test</t>
  </si>
  <si>
    <t>What to Capture</t>
  </si>
  <si>
    <t>Success / Decision Needed</t>
  </si>
  <si>
    <t>Why It Matters</t>
  </si>
  <si>
    <t>SME Needed</t>
  </si>
  <si>
    <t>Owner</t>
  </si>
  <si>
    <t>Notes</t>
  </si>
  <si>
    <t>T01</t>
  </si>
  <si>
    <t>Data</t>
  </si>
  <si>
    <t>Feature definition &amp; transformation check</t>
  </si>
  <si>
    <t>Definitions, formulas, denominators, time windows, exclusions, claim status, reversals/resubmissions.</t>
  </si>
  <si>
    <t>All four model dimensions are documented and approved.</t>
  </si>
  <si>
    <t>Prevents fake spikes or misleading norms caused by data-definition errors.</t>
  </si>
  <si>
    <t>Yes</t>
  </si>
  <si>
    <t>T02</t>
  </si>
  <si>
    <t>Missingness and coverage check</t>
  </si>
  <si>
    <t>Missing rates and population coverage by provider type, specialty, region, and period.</t>
  </si>
  <si>
    <t>Coverage gaps are understood or corrected before scoring.</t>
  </si>
  <si>
    <t>A model cannot fairly compare providers if key cohorts are missing or underrepresented.</t>
  </si>
  <si>
    <t>No</t>
  </si>
  <si>
    <t>T03</t>
  </si>
  <si>
    <t>Scaling and normalization sensitivity</t>
  </si>
  <si>
    <t>Results under standard scaling, robust scaling, log transforms, and volume normalization.</t>
  </si>
  <si>
    <t>Chosen scaling does not let one metric dominate distance.</t>
  </si>
  <si>
    <t>KMeans is distance-based; scaling choices can drive the alert queue.</t>
  </si>
  <si>
    <t>T04</t>
  </si>
  <si>
    <t>Claims lag and time-window completeness</t>
  </si>
  <si>
    <t>Recent-week completeness, adjudication lag, catch-up billing, and exclusion window if needed.</t>
  </si>
  <si>
    <t>Recent incomplete periods are excluded or adjusted.</t>
  </si>
  <si>
    <t>Claims lag can create artificial spikes or drops.</t>
  </si>
  <si>
    <t>T05</t>
  </si>
  <si>
    <t>Peer Validity</t>
  </si>
  <si>
    <t>SME-approved peer group logic</t>
  </si>
  <si>
    <t>Provider attributes that must define or constrain peer comparisons.</t>
  </si>
  <si>
    <t>Shirley agrees the reference population is valid for normative comparison.</t>
  </si>
  <si>
    <t>Bad peer groups create bad anomalies, even if the model is mathematically stable.</t>
  </si>
  <si>
    <t>T06</t>
  </si>
  <si>
    <t>Clustering</t>
  </si>
  <si>
    <t>K choice and centroid profile sanity check</t>
  </si>
  <si>
    <t>Candidate K values, centroid profiles, cluster sizes, and plain-language cluster descriptions.</t>
  </si>
  <si>
    <t>Chosen K creates interpretable and useful peer groups.</t>
  </si>
  <si>
    <t>KMeans will always create clusters; they need to make domain sense.</t>
  </si>
  <si>
    <t>T07</t>
  </si>
  <si>
    <t>Cluster stability check</t>
  </si>
  <si>
    <t>Seed stability, bootstrap stability, and time-split centroid/assignment drift.</t>
  </si>
  <si>
    <t>Providers do not jump clusters due to random seed or minor sample changes.</t>
  </si>
  <si>
    <t>Unstable clusters undermine trust and repeatability.</t>
  </si>
  <si>
    <t>T08</t>
  </si>
  <si>
    <t>Alerting</t>
  </si>
  <si>
    <t>Distance threshold and alert volume sensitivity</t>
  </si>
  <si>
    <t>Alert counts and top-provider lists at multiple distance percentile thresholds.</t>
  </si>
  <si>
    <t>Threshold aligns to review capacity and acceptable noise.</t>
  </si>
  <si>
    <t>A technically valid model can still be unusable if it floods reviewers.</t>
  </si>
  <si>
    <t>T09</t>
  </si>
  <si>
    <t>Baseline</t>
  </si>
  <si>
    <t>Compare against legacy and simple rules at same K</t>
  </si>
  <si>
    <t>Precision/actionability for KMeans, legacy spike, z-score, top-dollar spike, top-percent spike, and random/background sample.</t>
  </si>
  <si>
    <t>KMeans beats credible baselines at the same review capacity.</t>
  </si>
  <si>
    <t>This is the core evidence that the model adds value.</t>
  </si>
  <si>
    <t>T10</t>
  </si>
  <si>
    <t>SME Validation</t>
  </si>
  <si>
    <t>Blinded actionability review</t>
  </si>
  <si>
    <t>Stratified sample labels using a 0-5 actionability rubric, with source hidden during review.</t>
  </si>
  <si>
    <t>SME scoring distinguishes strong leads from weak anomalies.</t>
  </si>
  <si>
    <t>Creates credible labels without anchoring reviewers on model output.</t>
  </si>
  <si>
    <t>T11</t>
  </si>
  <si>
    <t>Historical Validation</t>
  </si>
  <si>
    <t>Known-case capture backtest</t>
  </si>
  <si>
    <t>Prior overpayments, audit findings, referrals, confirmed cases, or other credible positives.</t>
  </si>
  <si>
    <t>Known serious cases appear in high-priority portions of the ranked queue.</t>
  </si>
  <si>
    <t>Shows whether the model would have surfaced real PI concerns.</t>
  </si>
  <si>
    <t>T12</t>
  </si>
  <si>
    <t>Risk &amp; Monitoring</t>
  </si>
  <si>
    <t>False-positive taxonomy and monitoring triggers</t>
  </si>
  <si>
    <t>Legitimate explanations, data artifacts, drift triggers, repeat alerts, and escalation/rollback rules.</t>
  </si>
  <si>
    <t>Model has a practical way to detect and manage degraded or noisy performance.</t>
  </si>
  <si>
    <t>FWA analytics need operational controls, not just a launch-time score.</t>
  </si>
  <si>
    <t>SME Decisions and Success Metrics</t>
  </si>
  <si>
    <t>Decision Area</t>
  </si>
  <si>
    <t>Question for Shirley</t>
  </si>
  <si>
    <t>Why We Need It</t>
  </si>
  <si>
    <t>How It Will Be Used</t>
  </si>
  <si>
    <t>Peer comparison</t>
  </si>
  <si>
    <t>Which provider attributes must define valid peers before we call a provider unusual?</t>
  </si>
  <si>
    <t>Defines the model's reference population.</t>
  </si>
  <si>
    <t>Peer grouping rules and exclusions.</t>
  </si>
  <si>
    <t>Invalid comparisons</t>
  </si>
  <si>
    <t>Which provider groups should never be compared to each other?</t>
  </si>
  <si>
    <t>Prevents misleading normative comparisons.</t>
  </si>
  <si>
    <t>Exclusion or separate-model rules.</t>
  </si>
  <si>
    <t>Actionability</t>
  </si>
  <si>
    <t>What evidence makes an alert worth review, records request, audit, education, or referral?</t>
  </si>
  <si>
    <t>Defines what success means.</t>
  </si>
  <si>
    <t>0-5 actionability rubric.</t>
  </si>
  <si>
    <t>Review capacity</t>
  </si>
  <si>
    <t>How many provider-week or provider-month leads can be reviewed in a normal cycle?</t>
  </si>
  <si>
    <t>Sets K for precision@K.</t>
  </si>
  <si>
    <t>Primary evaluation denominator.</t>
  </si>
  <si>
    <t>Materiality</t>
  </si>
  <si>
    <t>What dollar or volume threshold makes a lead meaningful enough to prioritize?</t>
  </si>
  <si>
    <t>Avoids chasing low-value anomalies.</t>
  </si>
  <si>
    <t>Minimum materiality filter or ranking weight.</t>
  </si>
  <si>
    <t>Known positives</t>
  </si>
  <si>
    <t>Which historical cases should be used as credible positives for backtesting?</t>
  </si>
  <si>
    <t>Creates an external validity check.</t>
  </si>
  <si>
    <t>Known-case capture metric.</t>
  </si>
  <si>
    <t>Legitimate explanations</t>
  </si>
  <si>
    <t>What non-FWA explanations commonly cause apparent spikes?</t>
  </si>
  <si>
    <t>Controls false positives.</t>
  </si>
  <si>
    <t>False-positive taxonomy.</t>
  </si>
  <si>
    <t>Baselines</t>
  </si>
  <si>
    <t>Which comparisons would you trust: legacy spike, z-score, top-dollar, top-percent, random/background, or SME-prioritized queue?</t>
  </si>
  <si>
    <t>Defines fair challengers.</t>
  </si>
  <si>
    <t>Baseline comparison set.</t>
  </si>
  <si>
    <t>Success threshold</t>
  </si>
  <si>
    <t>What precision, lift, or false-positive rate would make the tool worth using?</t>
  </si>
  <si>
    <t>Turns results into go/no-go criteria.</t>
  </si>
  <si>
    <t>Approval thresholds.</t>
  </si>
  <si>
    <t>Dashboard context</t>
  </si>
  <si>
    <t>What explanation must be shown for each alert before a reviewer can act?</t>
  </si>
  <si>
    <t>Supports user trust and adoption.</t>
  </si>
  <si>
    <t>Dashboard requirements.</t>
  </si>
  <si>
    <t>Metric</t>
  </si>
  <si>
    <t>Definition</t>
  </si>
  <si>
    <t>Target / Decision Needed</t>
  </si>
  <si>
    <t>Baseline Comparator</t>
  </si>
  <si>
    <t>SME-actionable precision@K</t>
  </si>
  <si>
    <t>% of top K alerts scored actionable by SME.</t>
  </si>
  <si>
    <t>Shirley defines K and actionability cutoff.</t>
  </si>
  <si>
    <t>Legacy, simple rules, random/background.</t>
  </si>
  <si>
    <t>Primary success metric.</t>
  </si>
  <si>
    <t>Lift@K</t>
  </si>
  <si>
    <t>KMeans precision@K divided by baseline precision@K.</t>
  </si>
  <si>
    <t>Minimum acceptable lift TBD.</t>
  </si>
  <si>
    <t>Legacy spike and strongest simple rule.</t>
  </si>
  <si>
    <t>Shows incremental value.</t>
  </si>
  <si>
    <t>Known-case capture@K</t>
  </si>
  <si>
    <t>% of credible historical positives surfaced in top K or top percentile.</t>
  </si>
  <si>
    <t>Target varies by case severity.</t>
  </si>
  <si>
    <t>Legacy and simple rules.</t>
  </si>
  <si>
    <t>External validity check.</t>
  </si>
  <si>
    <t>Dollar-weighted yield</t>
  </si>
  <si>
    <t>Potential exposure or recovery opportunity among actionable leads per reviewed provider.</t>
  </si>
  <si>
    <t>Materiality threshold TBD.</t>
  </si>
  <si>
    <t>Legacy and top-dollar rule.</t>
  </si>
  <si>
    <t>Captures financial relevance.</t>
  </si>
  <si>
    <t>False-positive burden</t>
  </si>
  <si>
    <t>% of top K dismissed as legitimate explanation, data artifact, or out of scope.</t>
  </si>
  <si>
    <t>Maximum acceptable burden TBD.</t>
  </si>
  <si>
    <t>Legacy and random/background.</t>
  </si>
  <si>
    <t>Protects reviewer time and provider trust.</t>
  </si>
  <si>
    <t>Alert manageability</t>
  </si>
  <si>
    <t>Alert count by cycle, provider type, and region.</t>
  </si>
  <si>
    <t>Must fit review capacity and avoid flooding users.</t>
  </si>
  <si>
    <t>All methods at same K.</t>
  </si>
  <si>
    <t>Operational readiness.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</si>
</sst>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1F1F1F"/>
      <name val="Aptos"/>
    </font>
    <font>
      <b/>
      <sz val="16"/>
      <color rgb="FF1F4E79"/>
      <name val="Aptos"/>
    </font>
    <font>
      <b/>
      <sz val="11"/>
      <name val="Carlito"/>
    </font>
    <font>
      <b/>
      <sz val="10"/>
      <color rgb="FF1F4E79"/>
      <name val="Aptos"/>
    </font>
    <font>
      <b/>
      <sz val="15"/>
      <color rgb="FF1F4E79"/>
      <name val="Aptos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3" fillId="3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/>
    </xf>
    <xf numFmtId="0" fontId="3" fillId="4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sqref="A1:G1"/>
    </sheetView>
  </sheetViews>
  <sheetFormatPr baseColWidth="10" defaultColWidth="8.83203125" defaultRowHeight="14"/>
  <cols>
    <col min="1" max="1" width="28" customWidth="1"/>
    <col min="2" max="2" width="58" customWidth="1"/>
    <col min="3" max="3" width="24" customWidth="1"/>
    <col min="4" max="4" width="20" customWidth="1"/>
    <col min="5" max="5" width="4" customWidth="1"/>
    <col min="6" max="6" width="22" customWidth="1"/>
    <col min="7" max="7" width="12" customWidth="1"/>
    <col min="8" max="9" width="18" customWidth="1"/>
    <col min="10" max="10" width="28" customWidth="1"/>
  </cols>
  <sheetData>
    <row r="1" spans="1:11" ht="22">
      <c r="A1" s="12" t="s">
        <v>0</v>
      </c>
      <c r="B1" s="12"/>
      <c r="C1" s="12"/>
      <c r="D1" s="12"/>
      <c r="E1" s="12"/>
      <c r="F1" s="12"/>
      <c r="G1" s="12"/>
      <c r="H1" s="2"/>
      <c r="I1" s="2"/>
      <c r="J1" s="2"/>
      <c r="K1" s="1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1" ht="17" customHeight="1">
      <c r="A3" s="4" t="s">
        <v>1</v>
      </c>
      <c r="B3" s="13" t="s">
        <v>2</v>
      </c>
      <c r="C3" s="13"/>
      <c r="D3" s="13"/>
      <c r="E3" s="13"/>
      <c r="F3" s="3"/>
      <c r="G3" s="3"/>
      <c r="H3" s="3"/>
      <c r="I3" s="3"/>
      <c r="J3" s="3"/>
    </row>
    <row r="4" spans="1:11" ht="17" customHeight="1">
      <c r="A4" s="4" t="s">
        <v>3</v>
      </c>
      <c r="B4" s="13" t="s">
        <v>4</v>
      </c>
      <c r="C4" s="13"/>
      <c r="D4" s="13"/>
      <c r="E4" s="13"/>
      <c r="F4" s="3"/>
      <c r="G4" s="3"/>
      <c r="H4" s="3"/>
      <c r="I4" s="3"/>
      <c r="J4" s="3"/>
    </row>
    <row r="5" spans="1:11" ht="17" customHeight="1">
      <c r="A5" s="4" t="s">
        <v>5</v>
      </c>
      <c r="B5" s="13" t="s">
        <v>6</v>
      </c>
      <c r="C5" s="13"/>
      <c r="D5" s="13"/>
      <c r="E5" s="13"/>
      <c r="F5" s="3"/>
      <c r="G5" s="3"/>
      <c r="H5" s="3"/>
      <c r="I5" s="3"/>
      <c r="J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1" ht="14" customHeight="1">
      <c r="A7" s="10" t="s">
        <v>7</v>
      </c>
      <c r="B7" s="10" t="s">
        <v>8</v>
      </c>
      <c r="C7" s="10" t="s">
        <v>9</v>
      </c>
      <c r="D7" s="10" t="s">
        <v>10</v>
      </c>
      <c r="E7" s="3"/>
      <c r="F7" s="10" t="s">
        <v>11</v>
      </c>
      <c r="G7" s="10" t="s">
        <v>12</v>
      </c>
      <c r="H7" s="3"/>
      <c r="I7" s="3"/>
      <c r="J7" s="3"/>
    </row>
    <row r="8" spans="1:11" ht="14" customHeight="1">
      <c r="A8" s="5" t="s">
        <v>13</v>
      </c>
      <c r="B8" s="5" t="s">
        <v>14</v>
      </c>
      <c r="C8" s="5" t="s">
        <v>15</v>
      </c>
      <c r="D8" s="5" t="s">
        <v>16</v>
      </c>
      <c r="E8" s="3"/>
      <c r="F8" s="11" t="s">
        <v>17</v>
      </c>
      <c r="G8" s="11">
        <f>COUNTIF('Core Tests'!I:I,F8)</f>
        <v>8</v>
      </c>
      <c r="H8" s="3"/>
      <c r="I8" s="3"/>
      <c r="J8" s="3"/>
    </row>
    <row r="9" spans="1:11" ht="14" customHeight="1">
      <c r="A9" s="5" t="s">
        <v>18</v>
      </c>
      <c r="B9" s="5" t="s">
        <v>19</v>
      </c>
      <c r="C9" s="5" t="s">
        <v>15</v>
      </c>
      <c r="D9" s="5" t="s">
        <v>16</v>
      </c>
      <c r="E9" s="3"/>
      <c r="F9" s="11" t="s">
        <v>16</v>
      </c>
      <c r="G9" s="11">
        <f>COUNTIF('Core Tests'!I:I,F9)</f>
        <v>4</v>
      </c>
      <c r="H9" s="3"/>
      <c r="I9" s="3"/>
      <c r="J9" s="3"/>
    </row>
    <row r="10" spans="1:11" ht="14" customHeight="1">
      <c r="A10" s="5" t="s">
        <v>20</v>
      </c>
      <c r="B10" s="5" t="s">
        <v>21</v>
      </c>
      <c r="C10" s="5" t="s">
        <v>15</v>
      </c>
      <c r="D10" s="5" t="s">
        <v>16</v>
      </c>
      <c r="E10" s="3"/>
      <c r="F10" s="11" t="s">
        <v>22</v>
      </c>
      <c r="G10" s="11">
        <f>COUNTIF('Core Tests'!I:I,F10)</f>
        <v>0</v>
      </c>
      <c r="H10" s="3"/>
      <c r="I10" s="3"/>
      <c r="J10" s="3"/>
    </row>
    <row r="11" spans="1:11" ht="14" customHeight="1">
      <c r="A11" s="5" t="s">
        <v>23</v>
      </c>
      <c r="B11" s="5" t="s">
        <v>24</v>
      </c>
      <c r="C11" s="5" t="s">
        <v>15</v>
      </c>
      <c r="D11" s="5" t="s">
        <v>16</v>
      </c>
      <c r="E11" s="3"/>
      <c r="F11" s="11" t="s">
        <v>25</v>
      </c>
      <c r="G11" s="11">
        <f>COUNTIF('Core Tests'!I:I,F11)</f>
        <v>0</v>
      </c>
      <c r="H11" s="3"/>
      <c r="I11" s="3"/>
      <c r="J11" s="3"/>
    </row>
    <row r="12" spans="1:11" ht="14" customHeight="1">
      <c r="A12" s="5" t="s">
        <v>26</v>
      </c>
      <c r="B12" s="5" t="s">
        <v>27</v>
      </c>
      <c r="C12" s="5" t="s">
        <v>15</v>
      </c>
      <c r="D12" s="5" t="s">
        <v>16</v>
      </c>
      <c r="E12" s="3"/>
      <c r="F12" s="11" t="s">
        <v>28</v>
      </c>
      <c r="G12" s="11">
        <f>COUNTIF('Core Tests'!I:I,F12)</f>
        <v>0</v>
      </c>
      <c r="H12" s="3"/>
      <c r="I12" s="3"/>
      <c r="J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1" ht="15">
      <c r="A15" s="14" t="s">
        <v>29</v>
      </c>
      <c r="B15" s="14"/>
      <c r="C15" s="14"/>
      <c r="D15" s="14"/>
      <c r="E15" s="14"/>
      <c r="F15" s="14"/>
      <c r="G15" s="3"/>
      <c r="H15" s="3"/>
      <c r="I15" s="3"/>
      <c r="J15" s="3"/>
    </row>
    <row r="16" spans="1:11" ht="16.25" customHeight="1">
      <c r="A16" s="7" t="s">
        <v>30</v>
      </c>
      <c r="B16" s="5" t="s">
        <v>31</v>
      </c>
      <c r="C16" s="3"/>
      <c r="D16" s="3"/>
      <c r="E16" s="3"/>
      <c r="F16" s="3"/>
      <c r="G16" s="3"/>
      <c r="H16" s="3"/>
      <c r="I16" s="3"/>
      <c r="J16" s="3"/>
    </row>
    <row r="17" spans="1:10" ht="16.25" customHeight="1">
      <c r="A17" s="7" t="s">
        <v>32</v>
      </c>
      <c r="B17" s="5" t="s">
        <v>33</v>
      </c>
      <c r="C17" s="3"/>
      <c r="D17" s="3"/>
      <c r="E17" s="3"/>
      <c r="F17" s="3"/>
      <c r="G17" s="3"/>
      <c r="H17" s="3"/>
      <c r="I17" s="3"/>
      <c r="J17" s="3"/>
    </row>
    <row r="18" spans="1:10" ht="16.25" customHeight="1">
      <c r="A18" s="7" t="s">
        <v>34</v>
      </c>
      <c r="B18" s="5" t="s">
        <v>35</v>
      </c>
      <c r="C18" s="3"/>
      <c r="D18" s="3"/>
      <c r="E18" s="3"/>
      <c r="F18" s="3"/>
      <c r="G18" s="3"/>
      <c r="H18" s="3"/>
      <c r="I18" s="3"/>
      <c r="J18" s="3"/>
    </row>
    <row r="19" spans="1:10" ht="16.25" customHeight="1">
      <c r="A19" s="7" t="s">
        <v>36</v>
      </c>
      <c r="B19" s="5" t="s">
        <v>37</v>
      </c>
      <c r="C19" s="3"/>
      <c r="D19" s="3"/>
      <c r="E19" s="3"/>
      <c r="F19" s="3"/>
      <c r="G19" s="3"/>
      <c r="H19" s="3"/>
      <c r="I19" s="3"/>
      <c r="J19" s="3"/>
    </row>
    <row r="20" spans="1:10" ht="16.25" customHeight="1">
      <c r="A20" s="7" t="s">
        <v>38</v>
      </c>
      <c r="B20" s="5" t="s">
        <v>39</v>
      </c>
      <c r="C20" s="3"/>
      <c r="D20" s="3"/>
      <c r="E20" s="3"/>
      <c r="F20" s="3"/>
      <c r="G20" s="3"/>
      <c r="H20" s="3"/>
      <c r="I20" s="3"/>
      <c r="J20" s="3"/>
    </row>
    <row r="21" spans="1:10" ht="16.25" customHeight="1">
      <c r="A21" s="7" t="s">
        <v>40</v>
      </c>
      <c r="B21" s="5" t="s">
        <v>41</v>
      </c>
      <c r="C21" s="3"/>
      <c r="D21" s="3"/>
      <c r="E21" s="3"/>
      <c r="F21" s="3"/>
      <c r="G21" s="3"/>
      <c r="H21" s="3"/>
      <c r="I21" s="3"/>
      <c r="J21" s="3"/>
    </row>
  </sheetData>
  <mergeCells count="5">
    <mergeCell ref="A1:G1"/>
    <mergeCell ref="B3:E3"/>
    <mergeCell ref="B4:E4"/>
    <mergeCell ref="B5:E5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baseColWidth="10" defaultColWidth="8.83203125" defaultRowHeight="14"/>
  <cols>
    <col min="1" max="1" width="9" customWidth="1"/>
    <col min="2" max="2" width="16" customWidth="1"/>
    <col min="3" max="3" width="30" customWidth="1"/>
    <col min="4" max="4" width="43" customWidth="1"/>
    <col min="5" max="5" width="39" customWidth="1"/>
    <col min="6" max="6" width="38" customWidth="1"/>
    <col min="7" max="7" width="12" customWidth="1"/>
    <col min="8" max="8" width="18" customWidth="1"/>
    <col min="9" max="9" width="16" customWidth="1"/>
    <col min="10" max="10" width="26" customWidth="1"/>
  </cols>
  <sheetData>
    <row r="1" spans="1:11" ht="16.25" customHeight="1">
      <c r="A1" s="8" t="s">
        <v>42</v>
      </c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49</v>
      </c>
      <c r="I1" s="8" t="s">
        <v>10</v>
      </c>
      <c r="J1" s="8" t="s">
        <v>50</v>
      </c>
      <c r="K1" s="1"/>
    </row>
    <row r="2" spans="1:11" ht="28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55</v>
      </c>
      <c r="F2" s="5" t="s">
        <v>56</v>
      </c>
      <c r="G2" s="5" t="s">
        <v>57</v>
      </c>
      <c r="H2" s="5"/>
      <c r="I2" s="5" t="s">
        <v>17</v>
      </c>
      <c r="J2" s="5"/>
    </row>
    <row r="3" spans="1:11" ht="28.25" customHeight="1">
      <c r="A3" s="5" t="s">
        <v>58</v>
      </c>
      <c r="B3" s="5" t="s">
        <v>52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/>
      <c r="I3" s="5" t="s">
        <v>17</v>
      </c>
      <c r="J3" s="5"/>
    </row>
    <row r="4" spans="1:11" ht="28.25" customHeight="1">
      <c r="A4" s="5" t="s">
        <v>64</v>
      </c>
      <c r="B4" s="5" t="s">
        <v>52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57</v>
      </c>
      <c r="H4" s="5"/>
      <c r="I4" s="5" t="s">
        <v>17</v>
      </c>
      <c r="J4" s="5"/>
    </row>
    <row r="5" spans="1:11" ht="28.25" customHeight="1">
      <c r="A5" s="5" t="s">
        <v>69</v>
      </c>
      <c r="B5" s="5" t="s">
        <v>52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57</v>
      </c>
      <c r="H5" s="5"/>
      <c r="I5" s="5" t="s">
        <v>17</v>
      </c>
      <c r="J5" s="5"/>
    </row>
    <row r="6" spans="1:11" ht="28.25" customHeight="1">
      <c r="A6" s="5" t="s">
        <v>74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57</v>
      </c>
      <c r="H6" s="5"/>
      <c r="I6" s="5" t="s">
        <v>16</v>
      </c>
      <c r="J6" s="5"/>
    </row>
    <row r="7" spans="1:11" ht="28.25" customHeight="1">
      <c r="A7" s="5" t="s">
        <v>80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85</v>
      </c>
      <c r="G7" s="5" t="s">
        <v>57</v>
      </c>
      <c r="H7" s="5"/>
      <c r="I7" s="5" t="s">
        <v>17</v>
      </c>
      <c r="J7" s="5"/>
    </row>
    <row r="8" spans="1:11" ht="28.25" customHeight="1">
      <c r="A8" s="5" t="s">
        <v>86</v>
      </c>
      <c r="B8" s="5" t="s">
        <v>81</v>
      </c>
      <c r="C8" s="5" t="s">
        <v>87</v>
      </c>
      <c r="D8" s="5" t="s">
        <v>88</v>
      </c>
      <c r="E8" s="5" t="s">
        <v>89</v>
      </c>
      <c r="F8" s="5" t="s">
        <v>90</v>
      </c>
      <c r="G8" s="5" t="s">
        <v>63</v>
      </c>
      <c r="H8" s="5"/>
      <c r="I8" s="5" t="s">
        <v>17</v>
      </c>
      <c r="J8" s="5"/>
    </row>
    <row r="9" spans="1:11" ht="28.25" customHeight="1">
      <c r="A9" s="5" t="s">
        <v>91</v>
      </c>
      <c r="B9" s="5" t="s">
        <v>92</v>
      </c>
      <c r="C9" s="5" t="s">
        <v>93</v>
      </c>
      <c r="D9" s="5" t="s">
        <v>94</v>
      </c>
      <c r="E9" s="5" t="s">
        <v>95</v>
      </c>
      <c r="F9" s="5" t="s">
        <v>96</v>
      </c>
      <c r="G9" s="5" t="s">
        <v>57</v>
      </c>
      <c r="H9" s="5"/>
      <c r="I9" s="5" t="s">
        <v>16</v>
      </c>
      <c r="J9" s="5"/>
    </row>
    <row r="10" spans="1:11" ht="28.25" customHeight="1">
      <c r="A10" s="5" t="s">
        <v>97</v>
      </c>
      <c r="B10" s="5" t="s">
        <v>98</v>
      </c>
      <c r="C10" s="5" t="s">
        <v>99</v>
      </c>
      <c r="D10" s="5" t="s">
        <v>100</v>
      </c>
      <c r="E10" s="5" t="s">
        <v>101</v>
      </c>
      <c r="F10" s="5" t="s">
        <v>102</v>
      </c>
      <c r="G10" s="5" t="s">
        <v>57</v>
      </c>
      <c r="H10" s="5"/>
      <c r="I10" s="5" t="s">
        <v>17</v>
      </c>
      <c r="J10" s="5"/>
    </row>
    <row r="11" spans="1:11" ht="28.25" customHeight="1">
      <c r="A11" s="5" t="s">
        <v>103</v>
      </c>
      <c r="B11" s="5" t="s">
        <v>104</v>
      </c>
      <c r="C11" s="5" t="s">
        <v>105</v>
      </c>
      <c r="D11" s="5" t="s">
        <v>106</v>
      </c>
      <c r="E11" s="5" t="s">
        <v>107</v>
      </c>
      <c r="F11" s="5" t="s">
        <v>108</v>
      </c>
      <c r="G11" s="5" t="s">
        <v>57</v>
      </c>
      <c r="H11" s="5"/>
      <c r="I11" s="5" t="s">
        <v>16</v>
      </c>
      <c r="J11" s="5"/>
    </row>
    <row r="12" spans="1:11" ht="28.25" customHeight="1">
      <c r="A12" s="5" t="s">
        <v>109</v>
      </c>
      <c r="B12" s="5" t="s">
        <v>110</v>
      </c>
      <c r="C12" s="5" t="s">
        <v>111</v>
      </c>
      <c r="D12" s="5" t="s">
        <v>112</v>
      </c>
      <c r="E12" s="5" t="s">
        <v>113</v>
      </c>
      <c r="F12" s="5" t="s">
        <v>114</v>
      </c>
      <c r="G12" s="5" t="s">
        <v>57</v>
      </c>
      <c r="H12" s="5"/>
      <c r="I12" s="5" t="s">
        <v>16</v>
      </c>
      <c r="J12" s="5"/>
    </row>
    <row r="13" spans="1:11" ht="28.25" customHeight="1">
      <c r="A13" s="5" t="s">
        <v>115</v>
      </c>
      <c r="B13" s="5" t="s">
        <v>116</v>
      </c>
      <c r="C13" s="5" t="s">
        <v>117</v>
      </c>
      <c r="D13" s="5" t="s">
        <v>118</v>
      </c>
      <c r="E13" s="5" t="s">
        <v>119</v>
      </c>
      <c r="F13" s="5" t="s">
        <v>120</v>
      </c>
      <c r="G13" s="5" t="s">
        <v>57</v>
      </c>
      <c r="H13" s="5"/>
      <c r="I13" s="5" t="s">
        <v>17</v>
      </c>
      <c r="J13" s="5"/>
    </row>
  </sheetData>
  <conditionalFormatting sqref="I2:I13">
    <cfRule type="containsText" priority="1" operator="containsText" text="Needs SME"/>
  </conditionalFormatting>
  <dataValidations count="2">
    <dataValidation type="list" allowBlank="1" sqref="G2:G200" xr:uid="{00000000-0002-0000-0100-000000000000}">
      <formula1>"Yes,No"</formula1>
    </dataValidation>
    <dataValidation type="list" allowBlank="1" sqref="I2:I200" xr:uid="{00000000-0002-0000-0100-000001000000}">
      <formula1>"Not Started,Needs SME,In Progress,Complete,Blocked"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/>
  </sheetViews>
  <sheetFormatPr baseColWidth="10" defaultColWidth="8.83203125" defaultRowHeight="14"/>
  <cols>
    <col min="1" max="1" width="22" customWidth="1"/>
    <col min="2" max="2" width="48" customWidth="1"/>
    <col min="3" max="3" width="36" customWidth="1"/>
    <col min="4" max="4" width="32" customWidth="1"/>
    <col min="5" max="5" width="28" customWidth="1"/>
  </cols>
  <sheetData>
    <row r="1" spans="1:11" ht="20">
      <c r="A1" s="9" t="s">
        <v>121</v>
      </c>
      <c r="B1" s="9"/>
      <c r="C1" s="9"/>
      <c r="D1" s="9"/>
      <c r="E1" s="9"/>
      <c r="F1" s="1"/>
      <c r="G1" s="1"/>
      <c r="H1" s="1"/>
      <c r="I1" s="1"/>
      <c r="J1" s="1"/>
      <c r="K1" s="1"/>
    </row>
    <row r="2" spans="1:11">
      <c r="A2" s="3"/>
      <c r="B2" s="3"/>
      <c r="C2" s="3"/>
      <c r="D2" s="3"/>
      <c r="E2" s="3"/>
    </row>
    <row r="3" spans="1:11" ht="14" customHeight="1">
      <c r="A3" s="6" t="s">
        <v>122</v>
      </c>
      <c r="B3" s="6" t="s">
        <v>123</v>
      </c>
      <c r="C3" s="6" t="s">
        <v>124</v>
      </c>
      <c r="D3" s="6" t="s">
        <v>125</v>
      </c>
      <c r="E3" s="6" t="s">
        <v>10</v>
      </c>
    </row>
    <row r="4" spans="1:11" ht="26" customHeight="1">
      <c r="A4" s="5" t="s">
        <v>126</v>
      </c>
      <c r="B4" s="5" t="s">
        <v>127</v>
      </c>
      <c r="C4" s="5" t="s">
        <v>128</v>
      </c>
      <c r="D4" s="5" t="s">
        <v>129</v>
      </c>
      <c r="E4" s="5" t="s">
        <v>16</v>
      </c>
    </row>
    <row r="5" spans="1:11" ht="26" customHeight="1">
      <c r="A5" s="5" t="s">
        <v>130</v>
      </c>
      <c r="B5" s="5" t="s">
        <v>131</v>
      </c>
      <c r="C5" s="5" t="s">
        <v>132</v>
      </c>
      <c r="D5" s="5" t="s">
        <v>133</v>
      </c>
      <c r="E5" s="5" t="s">
        <v>16</v>
      </c>
    </row>
    <row r="6" spans="1:11" ht="26" customHeight="1">
      <c r="A6" s="5" t="s">
        <v>134</v>
      </c>
      <c r="B6" s="5" t="s">
        <v>135</v>
      </c>
      <c r="C6" s="5" t="s">
        <v>136</v>
      </c>
      <c r="D6" s="5" t="s">
        <v>137</v>
      </c>
      <c r="E6" s="5" t="s">
        <v>16</v>
      </c>
    </row>
    <row r="7" spans="1:11" ht="26" customHeight="1">
      <c r="A7" s="5" t="s">
        <v>138</v>
      </c>
      <c r="B7" s="5" t="s">
        <v>139</v>
      </c>
      <c r="C7" s="5" t="s">
        <v>140</v>
      </c>
      <c r="D7" s="5" t="s">
        <v>141</v>
      </c>
      <c r="E7" s="5" t="s">
        <v>16</v>
      </c>
    </row>
    <row r="8" spans="1:11" ht="26" customHeight="1">
      <c r="A8" s="5" t="s">
        <v>142</v>
      </c>
      <c r="B8" s="5" t="s">
        <v>143</v>
      </c>
      <c r="C8" s="5" t="s">
        <v>144</v>
      </c>
      <c r="D8" s="5" t="s">
        <v>145</v>
      </c>
      <c r="E8" s="5" t="s">
        <v>16</v>
      </c>
    </row>
    <row r="9" spans="1:11" ht="26" customHeight="1">
      <c r="A9" s="5" t="s">
        <v>146</v>
      </c>
      <c r="B9" s="5" t="s">
        <v>147</v>
      </c>
      <c r="C9" s="5" t="s">
        <v>148</v>
      </c>
      <c r="D9" s="5" t="s">
        <v>149</v>
      </c>
      <c r="E9" s="5" t="s">
        <v>16</v>
      </c>
    </row>
    <row r="10" spans="1:11" ht="26" customHeight="1">
      <c r="A10" s="5" t="s">
        <v>150</v>
      </c>
      <c r="B10" s="5" t="s">
        <v>151</v>
      </c>
      <c r="C10" s="5" t="s">
        <v>152</v>
      </c>
      <c r="D10" s="5" t="s">
        <v>153</v>
      </c>
      <c r="E10" s="5" t="s">
        <v>16</v>
      </c>
    </row>
    <row r="11" spans="1:11" ht="26" customHeight="1">
      <c r="A11" s="5" t="s">
        <v>154</v>
      </c>
      <c r="B11" s="5" t="s">
        <v>155</v>
      </c>
      <c r="C11" s="5" t="s">
        <v>156</v>
      </c>
      <c r="D11" s="5" t="s">
        <v>157</v>
      </c>
      <c r="E11" s="5" t="s">
        <v>16</v>
      </c>
    </row>
    <row r="12" spans="1:11" ht="26" customHeight="1">
      <c r="A12" s="5" t="s">
        <v>158</v>
      </c>
      <c r="B12" s="5" t="s">
        <v>159</v>
      </c>
      <c r="C12" s="5" t="s">
        <v>160</v>
      </c>
      <c r="D12" s="5" t="s">
        <v>161</v>
      </c>
      <c r="E12" s="5" t="s">
        <v>16</v>
      </c>
    </row>
    <row r="13" spans="1:11" ht="26" customHeight="1">
      <c r="A13" s="5" t="s">
        <v>162</v>
      </c>
      <c r="B13" s="5" t="s">
        <v>163</v>
      </c>
      <c r="C13" s="5" t="s">
        <v>164</v>
      </c>
      <c r="D13" s="5" t="s">
        <v>165</v>
      </c>
      <c r="E13" s="5" t="s">
        <v>16</v>
      </c>
    </row>
    <row r="14" spans="1:11" ht="26" customHeight="1">
      <c r="A14" s="3"/>
      <c r="B14" s="3"/>
      <c r="C14" s="3"/>
      <c r="D14" s="3"/>
      <c r="E14" s="3"/>
    </row>
    <row r="15" spans="1:11" ht="26" customHeight="1">
      <c r="A15" s="3"/>
      <c r="B15" s="3"/>
      <c r="C15" s="3"/>
      <c r="D15" s="3"/>
      <c r="E15" s="3"/>
    </row>
    <row r="16" spans="1:11" ht="14" customHeight="1">
      <c r="A16" s="6" t="s">
        <v>166</v>
      </c>
      <c r="B16" s="6" t="s">
        <v>167</v>
      </c>
      <c r="C16" s="6" t="s">
        <v>168</v>
      </c>
      <c r="D16" s="6" t="s">
        <v>169</v>
      </c>
      <c r="E16" s="6" t="s">
        <v>50</v>
      </c>
    </row>
    <row r="17" spans="1:5" ht="26" customHeight="1">
      <c r="A17" s="5" t="s">
        <v>170</v>
      </c>
      <c r="B17" s="5" t="s">
        <v>171</v>
      </c>
      <c r="C17" s="5" t="s">
        <v>172</v>
      </c>
      <c r="D17" s="5" t="s">
        <v>173</v>
      </c>
      <c r="E17" s="5" t="s">
        <v>174</v>
      </c>
    </row>
    <row r="18" spans="1:5" ht="26" customHeight="1">
      <c r="A18" s="5" t="s">
        <v>175</v>
      </c>
      <c r="B18" s="5" t="s">
        <v>176</v>
      </c>
      <c r="C18" s="5" t="s">
        <v>177</v>
      </c>
      <c r="D18" s="5" t="s">
        <v>178</v>
      </c>
      <c r="E18" s="5" t="s">
        <v>179</v>
      </c>
    </row>
    <row r="19" spans="1:5" ht="26" customHeight="1">
      <c r="A19" s="5" t="s">
        <v>180</v>
      </c>
      <c r="B19" s="5" t="s">
        <v>181</v>
      </c>
      <c r="C19" s="5" t="s">
        <v>182</v>
      </c>
      <c r="D19" s="5" t="s">
        <v>183</v>
      </c>
      <c r="E19" s="5" t="s">
        <v>184</v>
      </c>
    </row>
    <row r="20" spans="1:5" ht="26" customHeight="1">
      <c r="A20" s="5" t="s">
        <v>185</v>
      </c>
      <c r="B20" s="5" t="s">
        <v>186</v>
      </c>
      <c r="C20" s="5" t="s">
        <v>187</v>
      </c>
      <c r="D20" s="5" t="s">
        <v>188</v>
      </c>
      <c r="E20" s="5" t="s">
        <v>189</v>
      </c>
    </row>
    <row r="21" spans="1:5" ht="26" customHeight="1">
      <c r="A21" s="5" t="s">
        <v>190</v>
      </c>
      <c r="B21" s="5" t="s">
        <v>191</v>
      </c>
      <c r="C21" s="5" t="s">
        <v>192</v>
      </c>
      <c r="D21" s="5" t="s">
        <v>193</v>
      </c>
      <c r="E21" s="5" t="s">
        <v>194</v>
      </c>
    </row>
    <row r="22" spans="1:5" ht="26" customHeight="1">
      <c r="A22" s="5" t="s">
        <v>195</v>
      </c>
      <c r="B22" s="5" t="s">
        <v>196</v>
      </c>
      <c r="C22" s="5" t="s">
        <v>197</v>
      </c>
      <c r="D22" s="5" t="s">
        <v>198</v>
      </c>
      <c r="E22" s="5" t="s">
        <v>199</v>
      </c>
    </row>
  </sheetData>
  <conditionalFormatting sqref="E4:E13">
    <cfRule type="containsText" priority="1" operator="containsText" text="Needs SME"/>
  </conditionalFormatting>
  <dataValidations count="1">
    <dataValidation type="list" allowBlank="1" sqref="E4:E13" xr:uid="{00000000-0002-0000-0200-000000000000}">
      <formula1>"Needs SME,In Progress,Complete"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Core Tests</vt:lpstr>
      <vt:lpstr>SME &amp; 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Bhatt, Neeraj</cp:lastModifiedBy>
  <cp:revision/>
  <dcterms:created xsi:type="dcterms:W3CDTF">2026-04-30T14:54:06Z</dcterms:created>
  <dcterms:modified xsi:type="dcterms:W3CDTF">2026-05-04T01:34:16Z</dcterms:modified>
  <cp:category/>
  <cp:contentStatus/>
</cp:coreProperties>
</file>